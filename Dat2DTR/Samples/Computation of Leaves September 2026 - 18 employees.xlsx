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eave - BANDIBAD, MHEL" sheetId="1" r:id="rId1"/>
    <sheet name="Leave - CALDERON, CHRISTIAN" sheetId="2" r:id="rId2"/>
    <sheet name="Leave - CANO, JUAN MIGUEL" sheetId="3" r:id="rId3"/>
    <sheet name="Leave - CARPIO, MARIA YZABELL" sheetId="4" r:id="rId4"/>
    <sheet name="Leave - CARPIO, MARY GRACE" sheetId="5" r:id="rId5"/>
    <sheet name="Leave - CRISTOBAL, BEVERLIE MAY" sheetId="6" r:id="rId6"/>
    <sheet name="Leave - DELA CRUZ, DANNIELLA" sheetId="7" r:id="rId7"/>
    <sheet name="Leave - DEMAKILING, MYRA SAMANT" sheetId="8" r:id="rId8"/>
    <sheet name="Leave - GALANG, ANGELINE" sheetId="9" r:id="rId9"/>
    <sheet name="Leave - INTERTAS, MICO D." sheetId="10" r:id="rId10"/>
    <sheet name="Leave - JIONGCO, JACQUELYN" sheetId="11" r:id="rId11"/>
    <sheet name="Leave - MONECIA, LHENARD KARLL" sheetId="12" r:id="rId12"/>
    <sheet name="Leave - PEPITO, MARINELLE" sheetId="13" r:id="rId13"/>
    <sheet name="Leave - PUERTA, ERIKA" sheetId="14" r:id="rId14"/>
    <sheet name="Leave - RAMOS, IAN CHRISTIAN" sheetId="15" r:id="rId15"/>
    <sheet name="Leave - REQUIROSO, CHARITY" sheetId="16" r:id="rId16"/>
    <sheet name="Leave - TUNGPALAN, JHUJIE" sheetId="17" r:id="rId17"/>
    <sheet name="Leave - ZARCILLA, MHEL ROSE" sheetId="18" r:id="rId18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9"/>
      <name val="Arial"/>
    </font>
    <font>
      <b/>
      <sz val="9"/>
      <name val="Arial"/>
    </font>
    <font>
      <b/>
      <sz val="12"/>
      <name val="Arial"/>
    </font>
    <font>
      <b/>
      <sz val="8"/>
      <name val="Arial"/>
    </font>
    <font>
      <b/>
      <sz val="9"/>
      <color rgb="FFC00000"/>
      <name val="Arial"/>
    </font>
    <font>
      <b/>
      <sz val="10"/>
      <name val="Arial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B3"/>
        <bgColor indexed="64"/>
      </patternFill>
    </fill>
    <fill>
      <patternFill patternType="solid">
        <fgColor rgb="FFE6E8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 applyNumberFormat="1" applyFill="1" applyFont="1" applyBorder="1" applyAlignment="1">
      <alignment horizontal="left" vertical="center"/>
    </xf>
    <xf numFmtId="0" fontId="2" fillId="0" borderId="0" xfId="0" applyNumberFormat="1" applyFill="1" applyFont="1" applyBorder="1" applyAlignment="1">
      <alignment horizontal="left" vertical="center"/>
    </xf>
    <xf numFmtId="0" fontId="3" fillId="0" borderId="0" xfId="0" applyNumberFormat="1" applyFill="1" applyFont="1" applyBorder="1" applyAlignment="1">
      <alignment horizontal="right" vertical="center"/>
    </xf>
    <xf numFmtId="0" fontId="1" fillId="0" borderId="0" xfId="0" applyNumberFormat="1" applyFill="1" applyFont="1" applyBorder="1" applyAlignment="1">
      <alignment horizontal="left" vertical="center"/>
    </xf>
    <xf numFmtId="0" fontId="1" fillId="0" borderId="1" xfId="0" applyNumberFormat="1" applyFill="1" applyFont="1" applyBorder="1" applyAlignment="1">
      <alignment horizontal="center" vertical="center"/>
    </xf>
    <xf numFmtId="0" fontId="1" fillId="0" borderId="1" xfId="0" applyNumberFormat="1" applyFill="1" applyFont="1" applyBorder="1" applyAlignment="1">
      <alignment horizontal="left" vertical="center" indent="1"/>
    </xf>
    <xf numFmtId="0" fontId="4" fillId="0" borderId="1" xfId="0" applyNumberFormat="1" applyFill="1" applyFont="1" applyBorder="1" applyAlignment="1">
      <alignment horizontal="center" vertical="center"/>
    </xf>
    <xf numFmtId="0" fontId="5" fillId="0" borderId="1" xfId="0" applyNumberFormat="1" applyFill="1" applyFont="1" applyBorder="1" applyAlignment="1">
      <alignment horizontal="left" vertical="center" indent="2"/>
    </xf>
    <xf numFmtId="0" fontId="1" fillId="0" borderId="0" xfId="0" applyNumberFormat="1" applyFill="1" applyFont="1" applyBorder="1" applyAlignment="1">
      <alignment horizontal="left" vertical="top" wrapText="1"/>
    </xf>
    <xf numFmtId="0" fontId="3" fillId="0" borderId="0" xfId="0" applyNumberFormat="1" applyFill="1" applyFont="1" applyBorder="1" applyAlignment="1">
      <alignment horizontal="left" vertical="center"/>
    </xf>
    <xf numFmtId="0" fontId="1" fillId="0" borderId="2" xfId="0" applyNumberFormat="1" applyFill="1" applyFont="1" applyBorder="1" applyAlignment="1">
      <alignment horizontal="center" vertical="center"/>
    </xf>
    <xf numFmtId="0" fontId="3" fillId="0" borderId="3" xfId="0" applyNumberFormat="1" applyFill="1" applyFont="1" applyBorder="1" applyAlignment="1">
      <alignment horizontal="left" vertical="center"/>
    </xf>
    <xf numFmtId="0" fontId="6" fillId="0" borderId="0" xfId="0" applyNumberFormat="1" applyFill="1" applyFont="1" applyBorder="1" applyAlignment="1">
      <alignment horizontal="left" vertical="center"/>
    </xf>
    <xf numFmtId="0" fontId="7" fillId="0" borderId="0" xfId="0" applyNumberFormat="1" applyFill="1" applyFont="1" applyBorder="1" applyAlignment="1">
      <alignment horizontal="left" vertical="center"/>
    </xf>
    <xf numFmtId="0" fontId="7" fillId="3" borderId="1" xfId="0" applyNumberFormat="1" applyFill="1" applyFont="1" applyBorder="1" applyAlignment="1">
      <alignment horizontal="center" vertical="center"/>
    </xf>
    <xf numFmtId="0" fontId="6" fillId="0" borderId="1" xfId="0" applyNumberFormat="1" applyFill="1" applyFont="1" applyBorder="1" applyAlignment="1">
      <alignment horizontal="center" vertical="center"/>
    </xf>
    <xf numFmtId="164" fontId="6" fillId="0" borderId="1" xfId="0" applyNumberFormat="1" applyFill="1" applyFont="1" applyBorder="1" applyAlignment="1">
      <alignment horizontal="center" vertical="center"/>
    </xf>
    <xf numFmtId="0" fontId="7" fillId="2" borderId="1" xfId="0" applyNumberFormat="1" applyFill="1" applyFont="1" applyBorder="1" applyAlignment="1">
      <alignment horizontal="center" vertical="center"/>
    </xf>
    <xf numFmtId="164" fontId="7" fillId="2" borderId="1" xfId="0" applyNumberFormat="1" applyFill="1" applyFont="1" applyBorder="1" applyAlignment="1">
      <alignment horizontal="center" vertical="center"/>
    </xf>
    <xf numFmtId="0" fontId="6" fillId="0" borderId="0" xfId="0" applyNumberFormat="1" applyFill="1" applyFont="1" applyBorder="1" applyAlignment="1">
      <alignment horizontal="right" vertical="center"/>
    </xf>
    <xf numFmtId="0" fontId="7" fillId="0" borderId="0" xfId="0" applyNumberFormat="1" applyFill="1" applyFont="1" applyBorder="1" applyAlignment="1">
      <alignment horizontal="right" vertical="center"/>
    </xf>
    <xf numFmtId="0" fontId="6" fillId="0" borderId="0" xfId="0" applyNumberFormat="1" applyFill="1" applyFont="1" applyBorder="1" applyAlignment="1">
      <alignment horizontal="left" vertical="top" wrapText="1"/>
    </xf>
    <xf numFmtId="0" fontId="6" fillId="0" borderId="1" xfId="0" applyNumberFormat="1" applyFill="1" applyFont="1" applyBorder="1" applyAlignment="1">
      <alignment horizontal="left" vertical="center" indent="1"/>
    </xf>
    <xf numFmtId="0" fontId="7" fillId="2" borderId="1" xfId="0" applyNumberFormat="1" applyFill="1" applyFont="1" applyBorder="1" applyAlignment="1">
      <alignment horizontal="left" vertical="center" indent="1"/>
    </xf>
    <xf numFmtId="0" fontId="6" fillId="0" borderId="0" xfId="0" applyNumberFormat="1" applyFill="1" applyFont="1" applyBorder="1" applyAlignment="1">
      <alignment horizontal="center" vertical="center"/>
    </xf>
    <xf numFmtId="0" fontId="6" fillId="0" borderId="1" xfId="0" applyNumberFormat="1" applyFill="1" applyFont="1" applyBorder="1" applyAlignment="1">
      <alignment horizontal="center" vertical="center" shrinkToFit="1"/>
    </xf>
    <xf numFmtId="0" fontId="7" fillId="2" borderId="1" xfId="0" applyNumberFormat="1" applyFill="1" applyFont="1" applyBorder="1" applyAlignment="1">
      <alignment horizontal="center" vertical="center" shrinkToFit="1"/>
    </xf>
    <xf numFmtId="0" fontId="3" fillId="0" borderId="0" xfId="0" applyNumberFormat="1" applyFill="1" applyFont="1" applyBorder="1" applyAlignment="1">
      <alignment horizontal="center" vertical="center"/>
    </xf>
    <xf numFmtId="164" fontId="7" fillId="0" borderId="2" xfId="0" applyNumberFormat="1" applyFill="1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O40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070126001 -&gt; BANDIBAD, MHEL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>
        <v>16.25</v>
      </c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>
        <v>21.25</v>
      </c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>
        <v>15</v>
      </c>
      <c r="F15" s="15"/>
      <c r="G15" s="15"/>
      <c r="H15" s="15"/>
      <c r="I15" s="15"/>
      <c r="J15" s="15"/>
      <c r="K15" s="15"/>
      <c r="L15" s="15"/>
      <c r="M15" s="15"/>
      <c r="N15" s="16">
        <v>20</v>
      </c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>
        <f>E15+C16-D16</f>
        <v>16.25</v>
      </c>
      <c r="F16" s="26"/>
      <c r="G16" s="17"/>
      <c r="H16" s="17"/>
      <c r="I16" s="17">
        <v>2</v>
      </c>
      <c r="J16" s="18"/>
      <c r="K16" s="18"/>
      <c r="L16" s="18">
        <v>1.25</v>
      </c>
      <c r="M16" s="18"/>
      <c r="N16" s="18">
        <f>N15+L16-M16</f>
        <v>21.25</v>
      </c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2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C:  7:00 AM - 4:00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15.000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16.250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20.000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21.250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3</t>
        </is>
      </c>
    </row>
    <row r="37" ht="16.5" customHeight="1">
      <c r="J37" s="12" t="inlineStr">
        <is>
          <t xml:space="preserve">      CTO used on 7, 9   (2 days)</t>
        </is>
      </c>
      <c r="N37" s="19" t="inlineStr">
        <is>
          <t xml:space="preserve">- 2</t>
        </is>
      </c>
    </row>
    <row r="38" ht="16.5" customHeight="1">
      <c r="J38" s="13" t="inlineStr">
        <is>
          <t xml:space="preserve">      Balance at the end of September 2026</t>
        </is>
      </c>
      <c r="N38" s="20" t="inlineStr">
        <is>
          <t xml:space="preserve">1</t>
        </is>
      </c>
    </row>
    <row r="39" ht="16.5" customHeight="1">
      <c r="J39" s="12" t="inlineStr">
        <is>
          <t xml:space="preserve">         1 day of it expires on October 9, 2026</t>
        </is>
      </c>
    </row>
  </sheetData>
  <mergeCells count="48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  <mergeCell ref="J38:M38"/>
    <mergeCell ref="N38:O38"/>
    <mergeCell ref="J39:O39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2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070126002 -&gt; CALDERON, CHRISTIAN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0.335</v>
      </c>
      <c r="E16" s="18"/>
      <c r="F16" s="26"/>
      <c r="G16" s="17"/>
      <c r="H16" s="17"/>
      <c r="I16" s="17"/>
      <c r="J16" s="18">
        <v>0.335</v>
      </c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2 h 41 min</t>
        </is>
      </c>
      <c r="G28" s="19" t="inlineStr">
        <is>
          <t xml:space="preserve">- 0.335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not known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not known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not known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3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070126003 -&gt; CANO, JUAN MIGUEL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0.012</v>
      </c>
      <c r="E16" s="18"/>
      <c r="F16" s="26"/>
      <c r="G16" s="17"/>
      <c r="H16" s="17"/>
      <c r="I16" s="17"/>
      <c r="J16" s="18"/>
      <c r="K16" s="18">
        <v>0.012</v>
      </c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Undertime, 6 min</t>
        </is>
      </c>
      <c r="G28" s="19" t="inlineStr">
        <is>
          <t xml:space="preserve">- 0.012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not known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not known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not known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4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070126004 -&gt; CARPIO, MARIA YZABELL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>
        <v>15</v>
      </c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>
        <v>21.25</v>
      </c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>
        <v>15</v>
      </c>
      <c r="F15" s="15"/>
      <c r="G15" s="15"/>
      <c r="H15" s="15"/>
      <c r="I15" s="15"/>
      <c r="J15" s="15"/>
      <c r="K15" s="15"/>
      <c r="L15" s="15"/>
      <c r="M15" s="15"/>
      <c r="N15" s="16">
        <v>20</v>
      </c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1.25</v>
      </c>
      <c r="E16" s="18">
        <f>E15+C16-D16</f>
        <v>15</v>
      </c>
      <c r="F16" s="26"/>
      <c r="G16" s="17"/>
      <c r="H16" s="17"/>
      <c r="I16" s="17"/>
      <c r="J16" s="18"/>
      <c r="K16" s="18">
        <v>1.25</v>
      </c>
      <c r="L16" s="18">
        <v>1.25</v>
      </c>
      <c r="M16" s="18"/>
      <c r="N16" s="18">
        <f>N15+L16-M16</f>
        <v>21.25</v>
      </c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15.000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Undertime, 10 h</t>
        </is>
      </c>
      <c r="G28" s="19" t="inlineStr">
        <is>
          <t xml:space="preserve">- 1.250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15.000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20.000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21.250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5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070126005 -&gt; CARPIO, MARY GRACE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6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070126006 -&gt; CRISTOBAL, BEVERLIE MAY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7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070126007 -&gt; DELA CRUZ, DANNIELLA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8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070126008 -&gt; DEMAKILING, MYRA SAMANTHA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0.002</v>
      </c>
      <c r="E16" s="18"/>
      <c r="F16" s="26"/>
      <c r="G16" s="17"/>
      <c r="H16" s="17"/>
      <c r="I16" s="17"/>
      <c r="J16" s="18"/>
      <c r="K16" s="18">
        <v>0.002</v>
      </c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B:  8:00 AM - 5:00 PM, Mon to Fri.   One whole day of leave = 1 day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Undertime, 1 min</t>
        </is>
      </c>
      <c r="G28" s="19" t="inlineStr">
        <is>
          <t xml:space="preserve">- 0.002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not known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not known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not known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9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070126009 -&gt; GALANG, ANGELINE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0.154</v>
      </c>
      <c r="E16" s="18"/>
      <c r="F16" s="26"/>
      <c r="G16" s="17"/>
      <c r="H16" s="17"/>
      <c r="I16" s="17"/>
      <c r="J16" s="18">
        <v>0.154</v>
      </c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1 h 14 min</t>
        </is>
      </c>
      <c r="G28" s="19" t="inlineStr">
        <is>
          <t xml:space="preserve">- 0.154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not known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not known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not known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0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070126010 -&gt; INTERTAS, MICO D.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f>0.352+0.625</f>
        <v>0.977</v>
      </c>
      <c r="E16" s="18"/>
      <c r="F16" s="26"/>
      <c r="G16" s="17"/>
      <c r="H16" s="17"/>
      <c r="I16" s="17"/>
      <c r="J16" s="18">
        <v>0.352</v>
      </c>
      <c r="K16" s="18">
        <v>0.625</v>
      </c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2 h 49 min</t>
        </is>
      </c>
      <c r="G28" s="19" t="inlineStr">
        <is>
          <t xml:space="preserve">- 0.352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2" t="inlineStr">
        <is>
          <t xml:space="preserve">      Undertime, 5 h</t>
        </is>
      </c>
      <c r="G29" s="19" t="inlineStr">
        <is>
          <t xml:space="preserve">- 0.625</t>
        </is>
      </c>
    </row>
    <row r="30" ht="16.5" customHeight="1">
      <c r="B30" s="13" t="inlineStr">
        <is>
          <t xml:space="preserve">      Balance at the end of September 2026</t>
        </is>
      </c>
      <c r="G30" s="20" t="inlineStr">
        <is>
          <t xml:space="preserve">not known</t>
        </is>
      </c>
      <c r="J30" s="13" t="inlineStr">
        <is>
          <t xml:space="preserve">WELLNESS LEAVE (WL),  5 DAYS A YEAR</t>
        </is>
      </c>
    </row>
    <row r="31" ht="16.5" customHeight="1"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3" t="inlineStr">
        <is>
          <t xml:space="preserve">SICK LEAVE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Balance brought forward from August 2026</t>
        </is>
      </c>
      <c r="G33" s="19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2" t="inlineStr">
        <is>
          <t xml:space="preserve">      Earned this month</t>
        </is>
      </c>
      <c r="G34" s="19" t="inlineStr">
        <is>
          <t xml:space="preserve">+ 1.250</t>
        </is>
      </c>
    </row>
    <row r="35" ht="16.5" customHeight="1">
      <c r="B35" s="13" t="inlineStr">
        <is>
          <t xml:space="preserve">      Balance at the end of September 2026</t>
        </is>
      </c>
      <c r="G35" s="20" t="inlineStr">
        <is>
          <t xml:space="preserve">not known</t>
        </is>
      </c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9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B30:F30"/>
    <mergeCell ref="G30:H30"/>
    <mergeCell ref="J30:O30"/>
    <mergeCell ref="J31:M31"/>
    <mergeCell ref="N31:O31"/>
    <mergeCell ref="B32:H32"/>
    <mergeCell ref="J32:M32"/>
    <mergeCell ref="N32:O32"/>
    <mergeCell ref="B33:F33"/>
    <mergeCell ref="G33:H33"/>
    <mergeCell ref="J33:M33"/>
    <mergeCell ref="N33:O33"/>
    <mergeCell ref="B34:F34"/>
    <mergeCell ref="G34:H34"/>
    <mergeCell ref="B35:F35"/>
    <mergeCell ref="G35:H35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1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070126011 -&gt; JIONGCO, JACQUELYN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0.167</v>
      </c>
      <c r="E16" s="18"/>
      <c r="F16" s="26"/>
      <c r="G16" s="17"/>
      <c r="H16" s="17"/>
      <c r="I16" s="17"/>
      <c r="J16" s="18">
        <v>0.167</v>
      </c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1 h 20 min</t>
        </is>
      </c>
      <c r="G28" s="19" t="inlineStr">
        <is>
          <t xml:space="preserve">- 0.167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not known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not known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not known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2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070126012 -&gt; MONECIA, LHENARD KARLL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f>0.171+0.098</f>
        <v>0.269</v>
      </c>
      <c r="E16" s="18"/>
      <c r="F16" s="26"/>
      <c r="G16" s="17"/>
      <c r="H16" s="17"/>
      <c r="I16" s="17"/>
      <c r="J16" s="18">
        <v>0.171</v>
      </c>
      <c r="K16" s="18">
        <v>0.098</v>
      </c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1 h 22 min</t>
        </is>
      </c>
      <c r="G28" s="19" t="inlineStr">
        <is>
          <t xml:space="preserve">- 0.171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2" t="inlineStr">
        <is>
          <t xml:space="preserve">      Undertime, 47 min</t>
        </is>
      </c>
      <c r="G29" s="19" t="inlineStr">
        <is>
          <t xml:space="preserve">- 0.098</t>
        </is>
      </c>
    </row>
    <row r="30" ht="16.5" customHeight="1">
      <c r="B30" s="13" t="inlineStr">
        <is>
          <t xml:space="preserve">      Balance at the end of September 2026</t>
        </is>
      </c>
      <c r="G30" s="20" t="inlineStr">
        <is>
          <t xml:space="preserve">not known</t>
        </is>
      </c>
      <c r="J30" s="13" t="inlineStr">
        <is>
          <t xml:space="preserve">WELLNESS LEAVE (WL),  5 DAYS A YEAR</t>
        </is>
      </c>
    </row>
    <row r="31" ht="16.5" customHeight="1"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3" t="inlineStr">
        <is>
          <t xml:space="preserve">SICK LEAVE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Balance brought forward from August 2026</t>
        </is>
      </c>
      <c r="G33" s="19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2" t="inlineStr">
        <is>
          <t xml:space="preserve">      Earned this month</t>
        </is>
      </c>
      <c r="G34" s="19" t="inlineStr">
        <is>
          <t xml:space="preserve">+ 1.250</t>
        </is>
      </c>
    </row>
    <row r="35" ht="16.5" customHeight="1">
      <c r="B35" s="13" t="inlineStr">
        <is>
          <t xml:space="preserve">      Balance at the end of September 2026</t>
        </is>
      </c>
      <c r="G35" s="20" t="inlineStr">
        <is>
          <t xml:space="preserve">not known</t>
        </is>
      </c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9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B30:F30"/>
    <mergeCell ref="G30:H30"/>
    <mergeCell ref="J30:O30"/>
    <mergeCell ref="J31:M31"/>
    <mergeCell ref="N31:O31"/>
    <mergeCell ref="B32:H32"/>
    <mergeCell ref="J32:M32"/>
    <mergeCell ref="N32:O32"/>
    <mergeCell ref="B33:F33"/>
    <mergeCell ref="G33:H33"/>
    <mergeCell ref="J33:M33"/>
    <mergeCell ref="N33:O33"/>
    <mergeCell ref="B34:F34"/>
    <mergeCell ref="G34:H34"/>
    <mergeCell ref="B35:F35"/>
    <mergeCell ref="G35:H35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3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070126013 -&gt; PEPITO, MARINELLE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4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070126014 -&gt; PUERTA, ERIKA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5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070126015 -&gt; RAMOS, IAN CHRISTIAN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v>0.065</v>
      </c>
      <c r="E16" s="18"/>
      <c r="F16" s="26"/>
      <c r="G16" s="17"/>
      <c r="H16" s="17"/>
      <c r="I16" s="17"/>
      <c r="J16" s="18">
        <v>0.065</v>
      </c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31 min</t>
        </is>
      </c>
      <c r="G28" s="19" t="inlineStr">
        <is>
          <t xml:space="preserve">- 0.065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3" t="inlineStr">
        <is>
          <t xml:space="preserve">      Balance at the end of September 2026</t>
        </is>
      </c>
      <c r="G29" s="20" t="inlineStr">
        <is>
          <t xml:space="preserve">not known</t>
        </is>
      </c>
    </row>
    <row r="30" ht="16.5" customHeight="1">
      <c r="J30" s="13" t="inlineStr">
        <is>
          <t xml:space="preserve">WELLNESS LEAVE (WL),  5 DAYS A YEAR</t>
        </is>
      </c>
    </row>
    <row r="31" ht="16.5" customHeight="1">
      <c r="B31" s="13" t="inlineStr">
        <is>
          <t xml:space="preserve">SICK LEAVE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Balance brought forward from August 2026</t>
        </is>
      </c>
      <c r="G32" s="19" t="inlineStr">
        <is>
          <t xml:space="preserve">not known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Earned this month</t>
        </is>
      </c>
      <c r="G33" s="19" t="inlineStr">
        <is>
          <t xml:space="preserve">+ 1.250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3" t="inlineStr">
        <is>
          <t xml:space="preserve">      Balance at the end of September 2026</t>
        </is>
      </c>
      <c r="G34" s="20" t="inlineStr">
        <is>
          <t xml:space="preserve">not known</t>
        </is>
      </c>
    </row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7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J30:O30"/>
    <mergeCell ref="B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B34:F34"/>
    <mergeCell ref="G34:H34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6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070126016 -&gt; REQUIROSO, CHARITY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7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070126017 -&gt; TUNGPALAN, JHUJIE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>
        <f>0.198+0.108</f>
        <v>0.306</v>
      </c>
      <c r="E16" s="18"/>
      <c r="F16" s="26"/>
      <c r="G16" s="17"/>
      <c r="H16" s="17"/>
      <c r="I16" s="17"/>
      <c r="J16" s="18">
        <v>0.198</v>
      </c>
      <c r="K16" s="18">
        <v>0.108</v>
      </c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2" t="inlineStr">
        <is>
          <t xml:space="preserve">      Late, 1 h 35 min</t>
        </is>
      </c>
      <c r="G28" s="19" t="inlineStr">
        <is>
          <t xml:space="preserve">- 0.198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16.5" customHeight="1">
      <c r="B29" s="12" t="inlineStr">
        <is>
          <t xml:space="preserve">      Undertime, 52 min</t>
        </is>
      </c>
      <c r="G29" s="19" t="inlineStr">
        <is>
          <t xml:space="preserve">- 0.108</t>
        </is>
      </c>
    </row>
    <row r="30" ht="16.5" customHeight="1">
      <c r="B30" s="13" t="inlineStr">
        <is>
          <t xml:space="preserve">      Balance at the end of September 2026</t>
        </is>
      </c>
      <c r="G30" s="20" t="inlineStr">
        <is>
          <t xml:space="preserve">not known</t>
        </is>
      </c>
      <c r="J30" s="13" t="inlineStr">
        <is>
          <t xml:space="preserve">WELLNESS LEAVE (WL),  5 DAYS A YEAR</t>
        </is>
      </c>
    </row>
    <row r="31" ht="16.5" customHeight="1"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3" t="inlineStr">
        <is>
          <t xml:space="preserve">SICK LEAVE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2" t="inlineStr">
        <is>
          <t xml:space="preserve">      Balance brought forward from August 2026</t>
        </is>
      </c>
      <c r="G33" s="19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16.5" customHeight="1">
      <c r="B34" s="12" t="inlineStr">
        <is>
          <t xml:space="preserve">      Earned this month</t>
        </is>
      </c>
      <c r="G34" s="19" t="inlineStr">
        <is>
          <t xml:space="preserve">+ 1.250</t>
        </is>
      </c>
    </row>
    <row r="35" ht="16.5" customHeight="1">
      <c r="B35" s="13" t="inlineStr">
        <is>
          <t xml:space="preserve">      Balance at the end of September 2026</t>
        </is>
      </c>
      <c r="G35" s="20" t="inlineStr">
        <is>
          <t xml:space="preserve">not known</t>
        </is>
      </c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9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29:F29"/>
    <mergeCell ref="G29:H29"/>
    <mergeCell ref="B30:F30"/>
    <mergeCell ref="G30:H30"/>
    <mergeCell ref="J30:O30"/>
    <mergeCell ref="J31:M31"/>
    <mergeCell ref="N31:O31"/>
    <mergeCell ref="B32:H32"/>
    <mergeCell ref="J32:M32"/>
    <mergeCell ref="N32:O32"/>
    <mergeCell ref="B33:F33"/>
    <mergeCell ref="G33:H33"/>
    <mergeCell ref="J33:M33"/>
    <mergeCell ref="N33:O33"/>
    <mergeCell ref="B34:F34"/>
    <mergeCell ref="G34:H34"/>
    <mergeCell ref="B35:F35"/>
    <mergeCell ref="G35:H35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

<file path=xl/worksheets/sheet18.xml><?xml version="1.0" encoding="utf-8"?>
<worksheet xmlns="http://schemas.openxmlformats.org/spreadsheetml/2006/main">
  <sheetPr>
    <pageSetUpPr fitToPage="1"/>
  </sheetPr>
  <dimension ref="A1:O38"/>
  <sheetViews>
    <sheetView showGridLines="0" workbookViewId="0"/>
  </sheetViews>
  <sheetFormatPr defaultRowHeight="15"/>
  <cols>
    <col min="1" max="1" width="2.5" customWidth="1"/>
    <col min="2" max="2" width="14.7" customWidth="1"/>
    <col min="3" max="5" width="9.5" customWidth="1"/>
    <col min="6" max="6" width="20" customWidth="1"/>
    <col min="7" max="9" width="6.5" customWidth="1"/>
    <col min="10" max="11" width="11.5" customWidth="1"/>
    <col min="12" max="14" width="9.5" customWidth="1"/>
    <col min="15" max="15" width="18" customWidth="1"/>
  </cols>
  <sheetData>
    <row r="2" ht="16.5" customHeight="1">
      <c r="B2" s="12" t="inlineStr">
        <is>
          <t xml:space="preserve">Name of Employee:</t>
        </is>
      </c>
      <c r="D2" s="13" t="inlineStr">
        <is>
          <t xml:space="preserve">070126018 -&gt; ZARCILLA, MHEL ROSE</t>
        </is>
      </c>
      <c r="M2" s="20" t="inlineStr">
        <is>
          <t xml:space="preserve">For the month of September 2026</t>
        </is>
      </c>
    </row>
    <row r="3" ht="16.5" customHeight="1">
      <c r="B3" s="12" t="inlineStr">
        <is>
          <t xml:space="preserve">Office:</t>
        </is>
      </c>
      <c r="M3" s="20" t="inlineStr">
        <is>
          <t xml:space="preserve">VL</t>
        </is>
      </c>
      <c r="N3" s="28"/>
      <c r="O3" s="10"/>
    </row>
    <row r="4" ht="16.5" customHeight="1">
      <c r="B4" s="12" t="inlineStr">
        <is>
          <t xml:space="preserve">First Day of Service</t>
        </is>
      </c>
      <c r="M4" s="20" t="inlineStr">
        <is>
          <t xml:space="preserve">SL</t>
        </is>
      </c>
      <c r="N4" s="28"/>
      <c r="O4" s="10"/>
    </row>
    <row r="6" ht="16.5" customHeight="1">
      <c r="B6" s="14">
        <v>2026</v>
      </c>
      <c r="C6" s="14" t="inlineStr">
        <is>
          <t xml:space="preserve">VACATION</t>
        </is>
      </c>
      <c r="D6" s="14"/>
      <c r="E6" s="14"/>
      <c r="F6" s="14"/>
      <c r="G6" s="14"/>
      <c r="H6" s="14"/>
      <c r="I6" s="14"/>
      <c r="J6" s="14"/>
      <c r="K6" s="14"/>
      <c r="L6" s="14" t="inlineStr">
        <is>
          <t xml:space="preserve">SICK</t>
        </is>
      </c>
      <c r="M6" s="14"/>
      <c r="N6" s="14"/>
      <c r="O6" s="14"/>
    </row>
    <row r="7" ht="16.5" customHeight="1">
      <c r="B7" s="14"/>
      <c r="C7" s="14" t="inlineStr">
        <is>
          <t xml:space="preserve">Earned</t>
        </is>
      </c>
      <c r="D7" s="14" t="inlineStr">
        <is>
          <t xml:space="preserve">Enjoyed</t>
        </is>
      </c>
      <c r="E7" s="14" t="inlineStr">
        <is>
          <t xml:space="preserve">Net</t>
        </is>
      </c>
      <c r="F7" s="14" t="inlineStr">
        <is>
          <t xml:space="preserve">Leave Date/s</t>
        </is>
      </c>
      <c r="G7" s="14" t="inlineStr">
        <is>
          <t xml:space="preserve">SPL</t>
        </is>
      </c>
      <c r="H7" s="14" t="inlineStr">
        <is>
          <t xml:space="preserve">WL</t>
        </is>
      </c>
      <c r="I7" s="14" t="inlineStr">
        <is>
          <t xml:space="preserve">CTO</t>
        </is>
      </c>
      <c r="J7" s="14" t="inlineStr">
        <is>
          <t xml:space="preserve">Late</t>
        </is>
      </c>
      <c r="K7" s="14" t="inlineStr">
        <is>
          <t xml:space="preserve">Undertime</t>
        </is>
      </c>
      <c r="L7" s="14" t="inlineStr">
        <is>
          <t xml:space="preserve">Earned</t>
        </is>
      </c>
      <c r="M7" s="14" t="inlineStr">
        <is>
          <t xml:space="preserve">Enjoyed</t>
        </is>
      </c>
      <c r="N7" s="14" t="inlineStr">
        <is>
          <t xml:space="preserve">Net</t>
        </is>
      </c>
      <c r="O7" s="14" t="inlineStr">
        <is>
          <t xml:space="preserve">Leave Date/s</t>
        </is>
      </c>
    </row>
    <row r="8" ht="16.5" customHeight="1">
      <c r="B8" s="22" t="inlineStr">
        <is>
          <t xml:space="preserve">January</t>
        </is>
      </c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6"/>
      <c r="O8" s="15"/>
    </row>
    <row r="9" ht="16.5" customHeight="1">
      <c r="B9" s="22" t="inlineStr">
        <is>
          <t xml:space="preserve">February</t>
        </is>
      </c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6"/>
      <c r="O9" s="15"/>
    </row>
    <row r="10" ht="16.5" customHeight="1">
      <c r="B10" s="22" t="inlineStr">
        <is>
          <t xml:space="preserve">March</t>
        </is>
      </c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6"/>
      <c r="O10" s="15"/>
    </row>
    <row r="11" ht="16.5" customHeight="1">
      <c r="B11" s="22" t="inlineStr">
        <is>
          <t xml:space="preserve">April</t>
        </is>
      </c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6"/>
      <c r="O11" s="15"/>
    </row>
    <row r="12" ht="16.5" customHeight="1">
      <c r="B12" s="22" t="inlineStr">
        <is>
          <t xml:space="preserve">May</t>
        </is>
      </c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6"/>
      <c r="O12" s="15"/>
    </row>
    <row r="13" ht="16.5" customHeight="1">
      <c r="B13" s="22" t="inlineStr">
        <is>
          <t xml:space="preserve">June</t>
        </is>
      </c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6"/>
      <c r="O13" s="15"/>
    </row>
    <row r="14" ht="16.5" customHeight="1">
      <c r="B14" s="22" t="inlineStr">
        <is>
          <t xml:space="preserve">July</t>
        </is>
      </c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6"/>
      <c r="O14" s="15"/>
    </row>
    <row r="15" ht="16.5" customHeight="1">
      <c r="B15" s="22" t="inlineStr">
        <is>
          <t xml:space="preserve">August</t>
        </is>
      </c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6"/>
      <c r="O15" s="15"/>
    </row>
    <row r="16" ht="16.5" customHeight="1">
      <c r="B16" s="23" t="inlineStr">
        <is>
          <t xml:space="preserve">September</t>
        </is>
      </c>
      <c r="C16" s="18">
        <v>1.25</v>
      </c>
      <c r="D16" s="18"/>
      <c r="E16" s="18"/>
      <c r="F16" s="26"/>
      <c r="G16" s="17"/>
      <c r="H16" s="17"/>
      <c r="I16" s="17"/>
      <c r="J16" s="18"/>
      <c r="K16" s="18"/>
      <c r="L16" s="18">
        <v>1.25</v>
      </c>
      <c r="M16" s="18"/>
      <c r="N16" s="18"/>
      <c r="O16" s="26"/>
    </row>
    <row r="17" ht="16.5" customHeight="1">
      <c r="B17" s="22" t="inlineStr">
        <is>
          <t xml:space="preserve">October</t>
        </is>
      </c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6"/>
      <c r="O17" s="15"/>
    </row>
    <row r="18" ht="16.5" customHeight="1">
      <c r="B18" s="22" t="inlineStr">
        <is>
          <t xml:space="preserve">November</t>
        </is>
      </c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6"/>
      <c r="O18" s="15"/>
    </row>
    <row r="19" ht="16.5" customHeight="1">
      <c r="B19" s="22" t="inlineStr">
        <is>
          <t xml:space="preserve">December</t>
        </is>
      </c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6"/>
      <c r="O19" s="15"/>
    </row>
    <row r="21" ht="16.5" customHeight="1">
      <c r="B21" s="13" t="inlineStr">
        <is>
          <t xml:space="preserve">Used this year (January to September):     Special Privilege Leave  0 of 3      Forced Leave  0 of 5      Wellness Leave  0 of 5      CTO  0</t>
        </is>
      </c>
    </row>
    <row r="23" ht="16.5" customHeight="1">
      <c r="B23" s="13" t="inlineStr">
        <is>
          <t xml:space="preserve">How September 2026 was computed</t>
        </is>
      </c>
    </row>
    <row r="24" ht="16.5" customHeight="1">
      <c r="B24" s="12" t="inlineStr">
        <is>
          <t xml:space="preserve">Schedule A:  7:00 AM - 6:00 PM, Mon to Thu.   One whole day of leave = 1.25 days of leave credits.</t>
        </is>
      </c>
    </row>
    <row r="25" ht="16.5" customHeight="1">
      <c r="B25" s="13" t="inlineStr">
        <is>
          <t xml:space="preserve">VACATION LEAVE</t>
        </is>
      </c>
      <c r="J25" s="13" t="inlineStr">
        <is>
          <t xml:space="preserve">SPECIAL PRIVILEGE LEAVE (SPL),  3 DAYS A YEAR</t>
        </is>
      </c>
    </row>
    <row r="26" ht="16.5" customHeight="1">
      <c r="B26" s="12" t="inlineStr">
        <is>
          <t xml:space="preserve">      Balance brought forward from August 2026</t>
        </is>
      </c>
      <c r="G26" s="19" t="inlineStr">
        <is>
          <t xml:space="preserve">not known</t>
        </is>
      </c>
      <c r="J26" s="12" t="inlineStr">
        <is>
          <t xml:space="preserve">      Used this year before September</t>
        </is>
      </c>
      <c r="N26" s="19" t="inlineStr">
        <is>
          <t xml:space="preserve">0</t>
        </is>
      </c>
    </row>
    <row r="27" ht="16.5" customHeight="1">
      <c r="B27" s="12" t="inlineStr">
        <is>
          <t xml:space="preserve">      Earned this month</t>
        </is>
      </c>
      <c r="G27" s="19" t="inlineStr">
        <is>
          <t xml:space="preserve">+ 1.250</t>
        </is>
      </c>
      <c r="J27" s="12" t="inlineStr">
        <is>
          <t xml:space="preserve">      Used this month</t>
        </is>
      </c>
      <c r="N27" s="19" t="inlineStr">
        <is>
          <t xml:space="preserve">0</t>
        </is>
      </c>
    </row>
    <row r="28" ht="16.5" customHeight="1">
      <c r="B28" s="13" t="inlineStr">
        <is>
          <t xml:space="preserve">      Balance at the end of September 2026</t>
        </is>
      </c>
      <c r="G28" s="20" t="inlineStr">
        <is>
          <t xml:space="preserve">not known</t>
        </is>
      </c>
      <c r="J28" s="13" t="inlineStr">
        <is>
          <t xml:space="preserve">      Left for the rest of 2026</t>
        </is>
      </c>
      <c r="N28" s="20" t="inlineStr">
        <is>
          <t xml:space="preserve">3</t>
        </is>
      </c>
    </row>
    <row r="29" ht="6" customHeight="1"/>
    <row r="30" ht="16.5" customHeight="1">
      <c r="B30" s="13" t="inlineStr">
        <is>
          <t xml:space="preserve">SICK LEAVE</t>
        </is>
      </c>
      <c r="J30" s="13" t="inlineStr">
        <is>
          <t xml:space="preserve">WELLNESS LEAVE (WL),  5 DAYS A YEAR</t>
        </is>
      </c>
    </row>
    <row r="31" ht="16.5" customHeight="1">
      <c r="B31" s="12" t="inlineStr">
        <is>
          <t xml:space="preserve">      Balance brought forward from August 2026</t>
        </is>
      </c>
      <c r="G31" s="19" t="inlineStr">
        <is>
          <t xml:space="preserve">not known</t>
        </is>
      </c>
      <c r="J31" s="12" t="inlineStr">
        <is>
          <t xml:space="preserve">      Used this year before September</t>
        </is>
      </c>
      <c r="N31" s="19" t="inlineStr">
        <is>
          <t xml:space="preserve">0</t>
        </is>
      </c>
    </row>
    <row r="32" ht="16.5" customHeight="1">
      <c r="B32" s="12" t="inlineStr">
        <is>
          <t xml:space="preserve">      Earned this month</t>
        </is>
      </c>
      <c r="G32" s="19" t="inlineStr">
        <is>
          <t xml:space="preserve">+ 1.250</t>
        </is>
      </c>
      <c r="J32" s="12" t="inlineStr">
        <is>
          <t xml:space="preserve">      Used this month</t>
        </is>
      </c>
      <c r="N32" s="19" t="inlineStr">
        <is>
          <t xml:space="preserve">0</t>
        </is>
      </c>
    </row>
    <row r="33" ht="16.5" customHeight="1">
      <c r="B33" s="13" t="inlineStr">
        <is>
          <t xml:space="preserve">      Balance at the end of September 2026</t>
        </is>
      </c>
      <c r="G33" s="20" t="inlineStr">
        <is>
          <t xml:space="preserve">not known</t>
        </is>
      </c>
      <c r="J33" s="13" t="inlineStr">
        <is>
          <t xml:space="preserve">      Left for the rest of 2026</t>
        </is>
      </c>
      <c r="N33" s="20" t="inlineStr">
        <is>
          <t xml:space="preserve">5</t>
        </is>
      </c>
    </row>
    <row r="34" ht="6" customHeight="1"/>
    <row r="35" ht="16.5" customHeight="1">
      <c r="J35" s="13" t="inlineStr">
        <is>
          <t xml:space="preserve">CTO (COMPENSATORY TIME-OFF, AT MOST 6 DAYS)</t>
        </is>
      </c>
    </row>
    <row r="36" ht="16.5" customHeight="1">
      <c r="J36" s="12" t="inlineStr">
        <is>
          <t xml:space="preserve">      Balance brought forward from August 2026</t>
        </is>
      </c>
      <c r="N36" s="19" t="inlineStr">
        <is>
          <t xml:space="preserve">0</t>
        </is>
      </c>
    </row>
    <row r="37" ht="16.5" customHeight="1">
      <c r="J37" s="13" t="inlineStr">
        <is>
          <t xml:space="preserve">      Balance at the end of September 2026</t>
        </is>
      </c>
      <c r="N37" s="20" t="inlineStr">
        <is>
          <t xml:space="preserve">0</t>
        </is>
      </c>
    </row>
  </sheetData>
  <mergeCells count="45">
    <mergeCell ref="M2:O2"/>
    <mergeCell ref="B2:C2"/>
    <mergeCell ref="D2:K2"/>
    <mergeCell ref="B3:C3"/>
    <mergeCell ref="D3:K3"/>
    <mergeCell ref="B4:C4"/>
    <mergeCell ref="D4:K4"/>
    <mergeCell ref="N3:O3"/>
    <mergeCell ref="N4:O4"/>
    <mergeCell ref="B6:B7"/>
    <mergeCell ref="C6:K6"/>
    <mergeCell ref="L6:O6"/>
    <mergeCell ref="B25:H25"/>
    <mergeCell ref="J25:O25"/>
    <mergeCell ref="B26:F26"/>
    <mergeCell ref="G26:H26"/>
    <mergeCell ref="J26:M26"/>
    <mergeCell ref="N26:O26"/>
    <mergeCell ref="B27:F27"/>
    <mergeCell ref="G27:H27"/>
    <mergeCell ref="J27:M27"/>
    <mergeCell ref="N27:O27"/>
    <mergeCell ref="B28:F28"/>
    <mergeCell ref="G28:H28"/>
    <mergeCell ref="J28:M28"/>
    <mergeCell ref="N28:O28"/>
    <mergeCell ref="B30:H30"/>
    <mergeCell ref="J30:O30"/>
    <mergeCell ref="B31:F31"/>
    <mergeCell ref="G31:H31"/>
    <mergeCell ref="J31:M31"/>
    <mergeCell ref="N31:O31"/>
    <mergeCell ref="B32:F32"/>
    <mergeCell ref="G32:H32"/>
    <mergeCell ref="J32:M32"/>
    <mergeCell ref="N32:O32"/>
    <mergeCell ref="B33:F33"/>
    <mergeCell ref="G33:H33"/>
    <mergeCell ref="J33:M33"/>
    <mergeCell ref="N33:O33"/>
    <mergeCell ref="J35:O35"/>
    <mergeCell ref="J36:M36"/>
    <mergeCell ref="N36:O36"/>
    <mergeCell ref="J37:M37"/>
    <mergeCell ref="N37:O37"/>
  </mergeCells>
  <printOptions horizontalCentered="1"/>
  <pageMargins left="0.5" right="0.5" top="0.5" bottom="0.5" header="0.3" footer="0.3"/>
  <pageSetup paperSize="9" orientation="landscape" fitToWidth="1" fitToHeight="1"/>
</worksheet>
</file>